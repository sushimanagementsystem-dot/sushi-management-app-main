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Order Sheet 24.07.2026" sheetId="1" r:id="rId4"/>
  </sheets>
  <definedNames/>
  <calcPr/>
  <extLst>
    <ext uri="GoogleSheetsCustomDataVersion2">
      <go:sheetsCustomData xmlns:go="http://customooxmlschemas.google.com/" r:id="rId5" roundtripDataChecksum="f93m3LOy8jXj2PwoB6bDhSfKDbCewpTORdFUwF+wQB8="/>
    </ext>
  </extLst>
</workbook>
</file>

<file path=xl/sharedStrings.xml><?xml version="1.0" encoding="utf-8"?>
<sst xmlns="http://schemas.openxmlformats.org/spreadsheetml/2006/main" count="162" uniqueCount="142">
  <si>
    <t>Tazaki Foods Order Sheet</t>
  </si>
  <si>
    <t xml:space="preserve">Tazaki Foods Order Email </t>
  </si>
  <si>
    <t>irelandsales@tazakifoods.com</t>
  </si>
  <si>
    <t>Item Code</t>
  </si>
  <si>
    <t>Item Description</t>
  </si>
  <si>
    <t>Selling UoM</t>
  </si>
  <si>
    <t>Case UoM</t>
  </si>
  <si>
    <t>Price</t>
  </si>
  <si>
    <t>Quantity</t>
  </si>
  <si>
    <t>Subtotal</t>
  </si>
  <si>
    <t>Q4400-IE</t>
  </si>
  <si>
    <t>Super Frozen Bigeye Tuna Saku AA-grade MSC</t>
  </si>
  <si>
    <t>1Kg</t>
  </si>
  <si>
    <t>5kg</t>
  </si>
  <si>
    <t>Q4403-IE</t>
  </si>
  <si>
    <t>Frozen Cooked Breaded Prawn 240g</t>
  </si>
  <si>
    <t>240g</t>
  </si>
  <si>
    <t>20/240g</t>
  </si>
  <si>
    <t>Q3030-IE</t>
  </si>
  <si>
    <t>LUF Surimi Maki Sticks (without E120) 500g</t>
  </si>
  <si>
    <t>500g</t>
  </si>
  <si>
    <t>20/500g</t>
  </si>
  <si>
    <t>Q3518-IE</t>
  </si>
  <si>
    <t>Sushi Ebi - ASC 3L 30pc</t>
  </si>
  <si>
    <t>30pc</t>
  </si>
  <si>
    <t>26/30pc</t>
  </si>
  <si>
    <t>S0073-IE</t>
  </si>
  <si>
    <t>Little Moons Strawberry Cheese Cake Mochi 30x2pc</t>
  </si>
  <si>
    <t>30x2pc</t>
  </si>
  <si>
    <t>S0075-IE</t>
  </si>
  <si>
    <t>Little Moons Chocolate Ganache Mochi 30x2pc</t>
  </si>
  <si>
    <t>YK84003-IE</t>
  </si>
  <si>
    <t>Yutaka Edamame Shelled Soybeans 500g</t>
  </si>
  <si>
    <t>10/500g</t>
  </si>
  <si>
    <t>R3150-IE</t>
  </si>
  <si>
    <t>Seasoned Seaweed Salad- Goma Wakame MSG, AZO free 500g</t>
  </si>
  <si>
    <t>500G</t>
  </si>
  <si>
    <t>20/500G</t>
  </si>
  <si>
    <t>YTK692-IE</t>
  </si>
  <si>
    <t>Yutaka GM&amp;MSG Free Seasoned Soy Bean Curd - Inari 40pc</t>
  </si>
  <si>
    <t>40pc</t>
  </si>
  <si>
    <t>10/40pc</t>
  </si>
  <si>
    <t>Q0230A-IE</t>
  </si>
  <si>
    <t>Springsnow Chicken Karaage 10x1kg</t>
  </si>
  <si>
    <t>10x1kg</t>
  </si>
  <si>
    <t>Q0231A-IE</t>
  </si>
  <si>
    <t>Snowfox Chicken Katsu 5x2kg</t>
  </si>
  <si>
    <t>5x2kg</t>
  </si>
  <si>
    <t>C1100-IE</t>
  </si>
  <si>
    <t>YO! KFC Sauce 6x1L</t>
  </si>
  <si>
    <t>6x1L</t>
  </si>
  <si>
    <t>F0220-IE</t>
  </si>
  <si>
    <t>Vegan Mayonnaise 6x1L</t>
  </si>
  <si>
    <t>C0154-IE</t>
  </si>
  <si>
    <t>Teriyaki Sauce Thin Type 6kg</t>
  </si>
  <si>
    <t>6kg</t>
  </si>
  <si>
    <t>3/6kg</t>
  </si>
  <si>
    <t>YK70413-IE</t>
  </si>
  <si>
    <t>Yutaka Sriracha Chilli Sauce 1kg</t>
  </si>
  <si>
    <t>1kg</t>
  </si>
  <si>
    <t>12/1kg</t>
  </si>
  <si>
    <t>YK01573-IE</t>
  </si>
  <si>
    <t>Yutaka Roasted White Sesame Seeds 1kg</t>
  </si>
  <si>
    <t>YK01575-IE</t>
  </si>
  <si>
    <t>Yutaka Roasted Black Sesame Seeds 1kg</t>
  </si>
  <si>
    <t>YK23002B-IE</t>
  </si>
  <si>
    <t>Yutaka Bamboo Rolling Mat 1pc</t>
  </si>
  <si>
    <t>1pc</t>
  </si>
  <si>
    <t>20/1pc</t>
  </si>
  <si>
    <t>YK70260-IE</t>
  </si>
  <si>
    <t>Yutaka Chili Pepper - Shichimi 300g</t>
  </si>
  <si>
    <t>300g</t>
  </si>
  <si>
    <t>20/300g</t>
  </si>
  <si>
    <t>YK63042-IE</t>
  </si>
  <si>
    <t>Yutaka Shredded Pickled Ginger - Benishoga 1.5kg</t>
  </si>
  <si>
    <t>1.5kg</t>
  </si>
  <si>
    <t>10/1.5kg</t>
  </si>
  <si>
    <t>K1450B-IE</t>
  </si>
  <si>
    <t>Takaokaya Powdered Seaweed Aonori Premium 100g</t>
  </si>
  <si>
    <t>100g</t>
  </si>
  <si>
    <t>20/100g</t>
  </si>
  <si>
    <t>J1343-IE</t>
  </si>
  <si>
    <t>Mishima Yukari - Seasoned Dry Perilla 20g</t>
  </si>
  <si>
    <t>20g</t>
  </si>
  <si>
    <t>10/20g</t>
  </si>
  <si>
    <t>P3027A-IE</t>
  </si>
  <si>
    <t>Sushi Ginger Sachet 200x3g</t>
  </si>
  <si>
    <t>200x3g</t>
  </si>
  <si>
    <t>5/200x3g</t>
  </si>
  <si>
    <t>F2904-IE</t>
  </si>
  <si>
    <t>Wasabi Sachets 500x1.5g</t>
  </si>
  <si>
    <t>500x1.5g</t>
  </si>
  <si>
    <t>12/500x1.5g</t>
  </si>
  <si>
    <t>C0002-IE</t>
  </si>
  <si>
    <t>Shoda Soy Sauce Sachets 200x8g</t>
  </si>
  <si>
    <t>200x8g</t>
  </si>
  <si>
    <t>10/200x8g</t>
  </si>
  <si>
    <t>K3502-IE</t>
  </si>
  <si>
    <t>Kofuku nori Roasted Seaweed Yakinori C Full Size 100 sheets</t>
  </si>
  <si>
    <t>250g</t>
  </si>
  <si>
    <t>40/100pcs (250g)</t>
  </si>
  <si>
    <t>F7003-IE</t>
  </si>
  <si>
    <t>King's Harvest Crispy Fried Onions 1kg</t>
  </si>
  <si>
    <t>10/1kg</t>
  </si>
  <si>
    <t>YK70073-IE</t>
  </si>
  <si>
    <t>Yutaka Wok Ready Udon Noodles 200g</t>
  </si>
  <si>
    <t>200g</t>
  </si>
  <si>
    <t>30/200g</t>
  </si>
  <si>
    <t>YK70074-IE</t>
  </si>
  <si>
    <t>Yutaka Wok Ready Yakisoba Noodles 150g</t>
  </si>
  <si>
    <t>150g</t>
  </si>
  <si>
    <t>30/150g</t>
  </si>
  <si>
    <t>YK70012-IE</t>
  </si>
  <si>
    <t>Yutaka Miso Ramen Meal Kit 184g</t>
  </si>
  <si>
    <t>184g</t>
  </si>
  <si>
    <t>12/184g</t>
  </si>
  <si>
    <t>YK70014-IE</t>
  </si>
  <si>
    <t>Yutaka Tan Tan Ramen Meal Kit 215g</t>
  </si>
  <si>
    <t>215g</t>
  </si>
  <si>
    <t>12/215g</t>
  </si>
  <si>
    <t>YK70015-IE</t>
  </si>
  <si>
    <t>Yutaka Yaki Udon Meal Kit 376g</t>
  </si>
  <si>
    <t>376g</t>
  </si>
  <si>
    <t>12/376g</t>
  </si>
  <si>
    <t>YK23681-IE</t>
  </si>
  <si>
    <t>Yutaka Genroku Bamboo Chopsticks 100pc</t>
  </si>
  <si>
    <t>100pc</t>
  </si>
  <si>
    <t>30/100pc</t>
  </si>
  <si>
    <t>U2008-IE</t>
  </si>
  <si>
    <t>Hata Bin Ramune -Soda Pop 200ml</t>
  </si>
  <si>
    <t>200ml</t>
  </si>
  <si>
    <t>30x200ml</t>
  </si>
  <si>
    <t>U2002-IE</t>
  </si>
  <si>
    <t>Hata Bin Ramune - Soda Pop Strawberry Flavour 200ml</t>
  </si>
  <si>
    <t>U2005-IE</t>
  </si>
  <si>
    <t>Hata Bin Ramune - Soda Pop Blueberry Flavour 200ml</t>
  </si>
  <si>
    <t>YK70038-IE</t>
  </si>
  <si>
    <t>Koshi Yutaka Standard Rice 5kg</t>
  </si>
  <si>
    <t>4/5kg</t>
  </si>
  <si>
    <t>E3298A-IE</t>
  </si>
  <si>
    <t>Mizkan Sushi Vinegar JS-47 18L</t>
  </si>
  <si>
    <t>18L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</si>
</sst>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[$£-809]* #,##0.00_-;\-[$£-809]* #,##0.00_-;_-[$£-809]* &quot;-&quot;??_-;_-@"/>
    <numFmt numFmtId="165" formatCode="_-[$€-2]\ * #,##0.00_-;\-[$€-2]\ * #,##0.00_-;_-[$€-2]\ * &quot;-&quot;??_-;_-@"/>
    <numFmt numFmtId="166" formatCode="_-[$€-1809]* #,##0.00_-;\-[$€-1809]* #,##0.00_-;_-[$€-1809]* &quot;-&quot;??_-;_-@"/>
    <numFmt numFmtId="167" formatCode="_-&quot;€&quot;* #,##0.00_-;\-&quot;€&quot;* #,##0.00_-;_-&quot;€&quot;* &quot;-&quot;??_-;_-@"/>
  </numFmts>
  <fonts count="7">
    <font>
      <sz val="11.0"/>
      <color theme="1"/>
      <name val="Calibri"/>
      <scheme val="minor"/>
    </font>
    <font>
      <b/>
      <sz val="14.0"/>
      <color theme="1"/>
      <name val="Calibri"/>
    </font>
    <font/>
    <font>
      <b/>
      <sz val="11.0"/>
      <color theme="1"/>
      <name val="Calibri"/>
    </font>
    <font>
      <u/>
      <sz val="11.0"/>
      <color rgb="FF0563C1"/>
      <name val="Calibri"/>
    </font>
    <font>
      <sz val="11.0"/>
      <color theme="1"/>
      <name val="Calibri"/>
    </font>
    <font>
      <b/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1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Border="1" applyFont="1"/>
    <xf borderId="3" fillId="0" fontId="3" numFmtId="0" xfId="0" applyAlignment="1" applyBorder="1" applyFont="1">
      <alignment horizontal="center" shrinkToFit="0" wrapText="1"/>
    </xf>
    <xf borderId="3" fillId="0" fontId="4" numFmtId="164" xfId="0" applyAlignment="1" applyBorder="1" applyFont="1" applyNumberFormat="1">
      <alignment horizontal="center"/>
    </xf>
    <xf borderId="4" fillId="0" fontId="2" numFmtId="0" xfId="0" applyBorder="1" applyFont="1"/>
    <xf borderId="5" fillId="0" fontId="2" numFmtId="0" xfId="0" applyBorder="1" applyFont="1"/>
    <xf borderId="0" fillId="0" fontId="5" numFmtId="0" xfId="0" applyAlignment="1" applyFont="1">
      <alignment vertical="bottom"/>
    </xf>
    <xf borderId="6" fillId="2" fontId="6" numFmtId="0" xfId="0" applyAlignment="1" applyBorder="1" applyFill="1" applyFont="1">
      <alignment horizontal="center"/>
    </xf>
    <xf borderId="7" fillId="2" fontId="6" numFmtId="0" xfId="0" applyAlignment="1" applyBorder="1" applyFill="1" applyFont="1">
      <alignment horizontal="center" shrinkToFit="0" wrapText="1"/>
    </xf>
    <xf borderId="7" fillId="2" fontId="3" numFmtId="0" xfId="0" applyAlignment="1" applyBorder="1" applyFill="1" applyFont="1">
      <alignment horizontal="center" shrinkToFit="0" wrapText="1"/>
    </xf>
    <xf borderId="6" fillId="2" fontId="3" numFmtId="0" xfId="0" applyAlignment="1" applyBorder="1" applyFill="1" applyFont="1">
      <alignment horizontal="center"/>
    </xf>
    <xf borderId="6" fillId="2" fontId="3" numFmtId="165" xfId="0" applyAlignment="1" applyBorder="1" applyFill="1" applyFont="1" applyNumberFormat="1">
      <alignment horizontal="center" shrinkToFit="0" wrapText="1"/>
    </xf>
    <xf borderId="6" fillId="2" fontId="3" numFmtId="0" xfId="0" applyAlignment="1" applyBorder="1" applyFill="1" applyFont="1">
      <alignment horizontal="center" shrinkToFit="0" wrapText="1"/>
    </xf>
    <xf borderId="6" fillId="2" fontId="3" numFmtId="166" xfId="0" applyAlignment="1" applyBorder="1" applyFill="1" applyFont="1" applyNumberFormat="1">
      <alignment horizontal="center"/>
    </xf>
    <xf borderId="8" fillId="0" fontId="5" numFmtId="0" xfId="0" applyAlignment="1" applyBorder="1" applyFont="1">
      <alignment horizontal="center"/>
    </xf>
    <xf borderId="8" fillId="0" fontId="5" numFmtId="0" xfId="0" applyBorder="1" applyFont="1"/>
    <xf borderId="8" fillId="0" fontId="5" numFmtId="2" xfId="0" applyAlignment="1" applyBorder="1" applyFont="1" applyNumberFormat="1">
      <alignment horizontal="center"/>
    </xf>
    <xf borderId="8" fillId="0" fontId="5" numFmtId="0" xfId="0" applyAlignment="1" applyBorder="1" applyFont="1">
      <alignment readingOrder="0"/>
    </xf>
    <xf borderId="9" fillId="0" fontId="5" numFmtId="167" xfId="0" applyAlignment="1" applyBorder="1" applyFont="1" applyNumberFormat="1">
      <alignment horizontal="right"/>
    </xf>
    <xf borderId="10" fillId="0" fontId="5" numFmtId="0" xfId="0" applyBorder="1" applyFont="1"/>
    <xf borderId="10" fillId="0" fontId="5" numFmtId="0" xfId="0" applyAlignment="1" applyBorder="1" applyFont="1">
      <alignment readingOrder="0"/>
    </xf>
    <xf borderId="9" fillId="0" fontId="5" numFmtId="0" xfId="0" applyAlignment="1" applyBorder="1" applyFont="1">
      <alignment horizontal="center"/>
    </xf>
    <xf borderId="9" fillId="0" fontId="5" numFmtId="0" xfId="0" applyBorder="1" applyFont="1"/>
    <xf borderId="9" fillId="0" fontId="5" numFmtId="2" xfId="0" applyAlignment="1" applyBorder="1" applyFont="1" applyNumberFormat="1">
      <alignment horizontal="center"/>
    </xf>
    <xf borderId="9" fillId="0" fontId="5" numFmtId="0" xfId="0" applyAlignment="1" applyBorder="1" applyFont="1">
      <alignment readingOrder="0"/>
    </xf>
    <xf borderId="11" fillId="3" fontId="5" numFmtId="2" xfId="0" applyAlignment="1" applyBorder="1" applyFill="1" applyFont="1" applyNumberFormat="1">
      <alignment horizontal="center"/>
    </xf>
    <xf borderId="8" fillId="3" fontId="5" numFmtId="2" xfId="0" applyAlignment="1" applyBorder="1" applyFill="1" applyFont="1" applyNumberFormat="1">
      <alignment horizontal="center"/>
    </xf>
    <xf borderId="8" fillId="0" fontId="5" numFmtId="0" xfId="0" applyAlignment="1" applyBorder="1" applyFont="1">
      <alignment horizontal="left"/>
    </xf>
    <xf borderId="8" fillId="0" fontId="5" numFmtId="0" xfId="0" applyAlignment="1" applyBorder="1" applyFont="1">
      <alignment horizontal="center" vertical="center"/>
    </xf>
    <xf borderId="8" fillId="0" fontId="5" numFmtId="2" xfId="0" applyAlignment="1" applyBorder="1" applyFont="1" applyNumberFormat="1">
      <alignment horizontal="center" vertical="center"/>
    </xf>
    <xf borderId="8" fillId="0" fontId="5" numFmtId="0" xfId="0" applyAlignment="1" applyBorder="1" applyFont="1">
      <alignment vertical="center"/>
    </xf>
    <xf borderId="8" fillId="0" fontId="5" numFmtId="167" xfId="0" applyAlignment="1" applyBorder="1" applyFont="1" applyNumberFormat="1">
      <alignment vertical="center"/>
    </xf>
    <xf borderId="8" fillId="0" fontId="5" numFmtId="0" xfId="0" applyAlignment="1" applyBorder="1" applyFont="1">
      <alignment horizontal="center" vertical="bottom"/>
    </xf>
    <xf borderId="8" fillId="0" fontId="5" numFmtId="0" xfId="0" applyAlignment="1" applyBorder="1" applyFont="1">
      <alignment vertical="bottom"/>
    </xf>
    <xf borderId="10" fillId="0" fontId="5" numFmtId="0" xfId="0" applyAlignment="1" applyBorder="1" applyFont="1">
      <alignment horizontal="center"/>
    </xf>
    <xf borderId="10" fillId="0" fontId="5" numFmtId="2" xfId="0" applyAlignment="1" applyBorder="1" applyFont="1" applyNumberFormat="1">
      <alignment horizontal="center"/>
    </xf>
    <xf borderId="10" fillId="0" fontId="5" numFmtId="0" xfId="0" applyAlignment="1" applyBorder="1" applyFont="1">
      <alignment horizontal="center" vertical="center"/>
    </xf>
    <xf borderId="10" fillId="0" fontId="5" numFmtId="2" xfId="0" applyAlignment="1" applyBorder="1" applyFont="1" applyNumberFormat="1">
      <alignment horizontal="center" vertical="center"/>
    </xf>
    <xf borderId="12" fillId="2" fontId="5" numFmtId="0" xfId="0" applyBorder="1" applyFill="1" applyFont="1"/>
    <xf borderId="13" fillId="0" fontId="2" numFmtId="0" xfId="0" applyBorder="1" applyFont="1"/>
    <xf borderId="14" fillId="0" fontId="2" numFmtId="0" xfId="0" applyBorder="1" applyFont="1"/>
    <xf borderId="15" fillId="2" fontId="5" numFmtId="0" xfId="0" applyBorder="1" applyFill="1" applyFont="1"/>
    <xf borderId="16" fillId="2" fontId="5" numFmtId="167" xfId="0" applyAlignment="1" applyBorder="1" applyFill="1" applyFont="1" applyNumberFormat="1">
      <alignment horizontal="right"/>
    </xf>
    <xf borderId="0" fillId="0" fontId="5" numFmtId="0" xfId="0" applyAlignment="1" applyFont="1">
      <alignment vertical="bottom"/>
    </xf>
    <xf borderId="0" fillId="0" fontId="5" numFmtId="2" xfId="0" applyAlignment="1" applyFont="1" applyNumberFormat="1">
      <alignment vertical="bottom"/>
    </xf>
    <xf borderId="0" fillId="0" fontId="5" numFmtId="167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irelandsales@tazakifoods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54.86"/>
    <col customWidth="1" min="3" max="4" width="17.14"/>
    <col customWidth="1" min="5" max="6" width="11.14"/>
    <col customWidth="1" min="7" max="7" width="13.43"/>
  </cols>
  <sheetData>
    <row r="1" ht="30.75" customHeight="1">
      <c r="A1" s="1" t="s">
        <v>0</v>
      </c>
      <c r="B1" s="2"/>
      <c r="C1" s="3" t="s">
        <v>1</v>
      </c>
      <c r="D1" s="2"/>
      <c r="E1" s="4" t="s">
        <v>2</v>
      </c>
      <c r="F1" s="5"/>
      <c r="G1" s="6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8.75" customHeight="1">
      <c r="A2" s="8" t="s">
        <v>3</v>
      </c>
      <c r="B2" s="9" t="s">
        <v>4</v>
      </c>
      <c r="C2" s="10" t="s">
        <v>5</v>
      </c>
      <c r="D2" s="11" t="s">
        <v>6</v>
      </c>
      <c r="E2" s="12" t="s">
        <v>7</v>
      </c>
      <c r="F2" s="13" t="s">
        <v>8</v>
      </c>
      <c r="G2" s="14" t="s">
        <v>9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7.25" customHeight="1">
      <c r="A3" s="15" t="s">
        <v>10</v>
      </c>
      <c r="B3" s="16" t="s">
        <v>11</v>
      </c>
      <c r="C3" s="15" t="s">
        <v>12</v>
      </c>
      <c r="D3" s="15" t="s">
        <v>13</v>
      </c>
      <c r="E3" s="17">
        <v>35.0</v>
      </c>
      <c r="F3" s="18"/>
      <c r="G3" s="19">
        <f t="shared" ref="G3:G22" si="1">F3*E3</f>
        <v>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7.25" customHeight="1">
      <c r="A4" s="15" t="s">
        <v>14</v>
      </c>
      <c r="B4" s="16" t="s">
        <v>15</v>
      </c>
      <c r="C4" s="15" t="s">
        <v>16</v>
      </c>
      <c r="D4" s="15" t="s">
        <v>17</v>
      </c>
      <c r="E4" s="17">
        <v>6.13</v>
      </c>
      <c r="F4" s="18"/>
      <c r="G4" s="19">
        <f t="shared" si="1"/>
        <v>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7.25" customHeight="1">
      <c r="A5" s="15" t="s">
        <v>18</v>
      </c>
      <c r="B5" s="16" t="s">
        <v>19</v>
      </c>
      <c r="C5" s="15" t="s">
        <v>20</v>
      </c>
      <c r="D5" s="15" t="s">
        <v>21</v>
      </c>
      <c r="E5" s="17">
        <v>2.2</v>
      </c>
      <c r="F5" s="18"/>
      <c r="G5" s="19">
        <f t="shared" si="1"/>
        <v>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7.25" customHeight="1">
      <c r="A6" s="15" t="s">
        <v>22</v>
      </c>
      <c r="B6" s="16" t="s">
        <v>23</v>
      </c>
      <c r="C6" s="15" t="s">
        <v>24</v>
      </c>
      <c r="D6" s="15" t="s">
        <v>25</v>
      </c>
      <c r="E6" s="17">
        <v>4.3</v>
      </c>
      <c r="F6" s="18"/>
      <c r="G6" s="19">
        <f t="shared" si="1"/>
        <v>0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7.25" customHeight="1">
      <c r="A7" s="15" t="s">
        <v>26</v>
      </c>
      <c r="B7" s="16" t="s">
        <v>27</v>
      </c>
      <c r="C7" s="15" t="s">
        <v>28</v>
      </c>
      <c r="D7" s="15" t="s">
        <v>28</v>
      </c>
      <c r="E7" s="17">
        <v>40.0</v>
      </c>
      <c r="F7" s="20"/>
      <c r="G7" s="19">
        <f t="shared" si="1"/>
        <v>0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7.25" customHeight="1">
      <c r="A8" s="15" t="s">
        <v>29</v>
      </c>
      <c r="B8" s="16" t="s">
        <v>30</v>
      </c>
      <c r="C8" s="15" t="s">
        <v>28</v>
      </c>
      <c r="D8" s="15" t="s">
        <v>28</v>
      </c>
      <c r="E8" s="17">
        <v>40.0</v>
      </c>
      <c r="F8" s="21"/>
      <c r="G8" s="19">
        <f t="shared" si="1"/>
        <v>0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7.25" customHeight="1">
      <c r="A9" s="22" t="s">
        <v>31</v>
      </c>
      <c r="B9" s="23" t="s">
        <v>32</v>
      </c>
      <c r="C9" s="22" t="s">
        <v>20</v>
      </c>
      <c r="D9" s="22" t="s">
        <v>33</v>
      </c>
      <c r="E9" s="24">
        <v>1.7</v>
      </c>
      <c r="F9" s="25"/>
      <c r="G9" s="19">
        <f t="shared" si="1"/>
        <v>0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7.25" customHeight="1">
      <c r="A10" s="22" t="s">
        <v>34</v>
      </c>
      <c r="B10" s="23" t="s">
        <v>35</v>
      </c>
      <c r="C10" s="22" t="s">
        <v>36</v>
      </c>
      <c r="D10" s="22" t="s">
        <v>37</v>
      </c>
      <c r="E10" s="24">
        <v>3.5</v>
      </c>
      <c r="F10" s="25"/>
      <c r="G10" s="19">
        <f t="shared" si="1"/>
        <v>0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7.25" customHeight="1">
      <c r="A11" s="15" t="s">
        <v>38</v>
      </c>
      <c r="B11" s="16" t="s">
        <v>39</v>
      </c>
      <c r="C11" s="15" t="s">
        <v>40</v>
      </c>
      <c r="D11" s="15" t="s">
        <v>41</v>
      </c>
      <c r="E11" s="17">
        <v>7.8</v>
      </c>
      <c r="F11" s="18"/>
      <c r="G11" s="19">
        <f t="shared" si="1"/>
        <v>0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7.25" customHeight="1">
      <c r="A12" s="15" t="s">
        <v>42</v>
      </c>
      <c r="B12" s="16" t="s">
        <v>43</v>
      </c>
      <c r="C12" s="15" t="s">
        <v>44</v>
      </c>
      <c r="D12" s="15" t="s">
        <v>44</v>
      </c>
      <c r="E12" s="17">
        <v>86.0</v>
      </c>
      <c r="F12" s="18"/>
      <c r="G12" s="19">
        <f t="shared" si="1"/>
        <v>0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7.25" customHeight="1">
      <c r="A13" s="15" t="s">
        <v>45</v>
      </c>
      <c r="B13" s="16" t="s">
        <v>46</v>
      </c>
      <c r="C13" s="15" t="s">
        <v>47</v>
      </c>
      <c r="D13" s="15" t="s">
        <v>47</v>
      </c>
      <c r="E13" s="17">
        <v>82.03</v>
      </c>
      <c r="F13" s="18"/>
      <c r="G13" s="19">
        <f t="shared" si="1"/>
        <v>0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7.25" customHeight="1">
      <c r="A14" s="22" t="s">
        <v>48</v>
      </c>
      <c r="B14" s="23" t="s">
        <v>49</v>
      </c>
      <c r="C14" s="22" t="s">
        <v>50</v>
      </c>
      <c r="D14" s="22" t="s">
        <v>50</v>
      </c>
      <c r="E14" s="26">
        <v>32.096</v>
      </c>
      <c r="F14" s="25"/>
      <c r="G14" s="19">
        <f t="shared" si="1"/>
        <v>0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7.25" customHeight="1">
      <c r="A15" s="15" t="s">
        <v>51</v>
      </c>
      <c r="B15" s="16" t="s">
        <v>52</v>
      </c>
      <c r="C15" s="15" t="s">
        <v>50</v>
      </c>
      <c r="D15" s="15" t="s">
        <v>50</v>
      </c>
      <c r="E15" s="27">
        <v>35.6596</v>
      </c>
      <c r="F15" s="16"/>
      <c r="G15" s="19">
        <f t="shared" si="1"/>
        <v>0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7.25" customHeight="1">
      <c r="A16" s="15" t="s">
        <v>53</v>
      </c>
      <c r="B16" s="16" t="s">
        <v>54</v>
      </c>
      <c r="C16" s="15" t="s">
        <v>55</v>
      </c>
      <c r="D16" s="15" t="s">
        <v>56</v>
      </c>
      <c r="E16" s="17">
        <v>23.75</v>
      </c>
      <c r="F16" s="18"/>
      <c r="G16" s="19">
        <f t="shared" si="1"/>
        <v>0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7.25" customHeight="1">
      <c r="A17" s="15" t="s">
        <v>57</v>
      </c>
      <c r="B17" s="16" t="s">
        <v>58</v>
      </c>
      <c r="C17" s="15" t="s">
        <v>59</v>
      </c>
      <c r="D17" s="15" t="s">
        <v>60</v>
      </c>
      <c r="E17" s="17">
        <v>4.9</v>
      </c>
      <c r="F17" s="18"/>
      <c r="G17" s="19">
        <f t="shared" si="1"/>
        <v>0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7.25" customHeight="1">
      <c r="A18" s="15" t="s">
        <v>61</v>
      </c>
      <c r="B18" s="16" t="s">
        <v>62</v>
      </c>
      <c r="C18" s="15" t="s">
        <v>59</v>
      </c>
      <c r="D18" s="15" t="s">
        <v>60</v>
      </c>
      <c r="E18" s="17">
        <v>6.5</v>
      </c>
      <c r="F18" s="18"/>
      <c r="G18" s="19">
        <f t="shared" si="1"/>
        <v>0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7.25" customHeight="1">
      <c r="A19" s="15" t="s">
        <v>63</v>
      </c>
      <c r="B19" s="16" t="s">
        <v>64</v>
      </c>
      <c r="C19" s="15" t="s">
        <v>59</v>
      </c>
      <c r="D19" s="15" t="s">
        <v>60</v>
      </c>
      <c r="E19" s="17">
        <v>8.1</v>
      </c>
      <c r="F19" s="18"/>
      <c r="G19" s="19">
        <f t="shared" si="1"/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7.25" customHeight="1">
      <c r="A20" s="15" t="s">
        <v>65</v>
      </c>
      <c r="B20" s="16" t="s">
        <v>66</v>
      </c>
      <c r="C20" s="15" t="s">
        <v>67</v>
      </c>
      <c r="D20" s="15" t="s">
        <v>68</v>
      </c>
      <c r="E20" s="17">
        <v>0.7</v>
      </c>
      <c r="F20" s="18"/>
      <c r="G20" s="19">
        <f t="shared" si="1"/>
        <v>0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7.25" customHeight="1">
      <c r="A21" s="15" t="s">
        <v>69</v>
      </c>
      <c r="B21" s="16" t="s">
        <v>70</v>
      </c>
      <c r="C21" s="15" t="s">
        <v>71</v>
      </c>
      <c r="D21" s="15" t="s">
        <v>72</v>
      </c>
      <c r="E21" s="17">
        <v>3.45</v>
      </c>
      <c r="F21" s="18"/>
      <c r="G21" s="19">
        <f t="shared" si="1"/>
        <v>0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7.25" customHeight="1">
      <c r="A22" s="15" t="s">
        <v>73</v>
      </c>
      <c r="B22" s="16" t="s">
        <v>74</v>
      </c>
      <c r="C22" s="15" t="s">
        <v>75</v>
      </c>
      <c r="D22" s="15" t="s">
        <v>76</v>
      </c>
      <c r="E22" s="17">
        <v>3.5</v>
      </c>
      <c r="F22" s="18"/>
      <c r="G22" s="19">
        <f t="shared" si="1"/>
        <v>0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7.25" customHeight="1">
      <c r="A23" s="15" t="s">
        <v>77</v>
      </c>
      <c r="B23" s="28" t="s">
        <v>78</v>
      </c>
      <c r="C23" s="29" t="s">
        <v>79</v>
      </c>
      <c r="D23" s="29" t="s">
        <v>80</v>
      </c>
      <c r="E23" s="30">
        <v>4.4</v>
      </c>
      <c r="F23" s="31"/>
      <c r="G23" s="32">
        <f t="shared" ref="G23:G24" si="2">E23*F23</f>
        <v>0</v>
      </c>
    </row>
    <row r="24" ht="17.25" customHeight="1">
      <c r="A24" s="15" t="s">
        <v>81</v>
      </c>
      <c r="B24" s="28" t="s">
        <v>82</v>
      </c>
      <c r="C24" s="29" t="s">
        <v>83</v>
      </c>
      <c r="D24" s="29" t="s">
        <v>84</v>
      </c>
      <c r="E24" s="30">
        <v>1.5</v>
      </c>
      <c r="F24" s="31"/>
      <c r="G24" s="32">
        <f t="shared" si="2"/>
        <v>0</v>
      </c>
    </row>
    <row r="25" ht="17.25" customHeight="1">
      <c r="A25" s="15" t="s">
        <v>85</v>
      </c>
      <c r="B25" s="16" t="s">
        <v>86</v>
      </c>
      <c r="C25" s="15" t="s">
        <v>87</v>
      </c>
      <c r="D25" s="15" t="s">
        <v>88</v>
      </c>
      <c r="E25" s="17">
        <v>9.0</v>
      </c>
      <c r="F25" s="18"/>
      <c r="G25" s="19">
        <f t="shared" ref="G25:G36" si="3">F25*E25</f>
        <v>0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7.25" customHeight="1">
      <c r="A26" s="15" t="s">
        <v>89</v>
      </c>
      <c r="B26" s="16" t="s">
        <v>90</v>
      </c>
      <c r="C26" s="15" t="s">
        <v>91</v>
      </c>
      <c r="D26" s="15" t="s">
        <v>92</v>
      </c>
      <c r="E26" s="17">
        <v>13.49</v>
      </c>
      <c r="F26" s="18"/>
      <c r="G26" s="19">
        <f t="shared" si="3"/>
        <v>0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7.25" customHeight="1">
      <c r="A27" s="15" t="s">
        <v>93</v>
      </c>
      <c r="B27" s="16" t="s">
        <v>94</v>
      </c>
      <c r="C27" s="15" t="s">
        <v>95</v>
      </c>
      <c r="D27" s="15" t="s">
        <v>96</v>
      </c>
      <c r="E27" s="17">
        <v>10.36</v>
      </c>
      <c r="F27" s="18"/>
      <c r="G27" s="19">
        <f t="shared" si="3"/>
        <v>0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7.25" customHeight="1">
      <c r="A28" s="15" t="s">
        <v>97</v>
      </c>
      <c r="B28" s="16" t="s">
        <v>98</v>
      </c>
      <c r="C28" s="15" t="s">
        <v>99</v>
      </c>
      <c r="D28" s="15" t="s">
        <v>100</v>
      </c>
      <c r="E28" s="17">
        <v>15.0</v>
      </c>
      <c r="F28" s="18"/>
      <c r="G28" s="19">
        <f t="shared" si="3"/>
        <v>0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7.25" customHeight="1">
      <c r="A29" s="22" t="s">
        <v>101</v>
      </c>
      <c r="B29" s="23" t="s">
        <v>102</v>
      </c>
      <c r="C29" s="22" t="s">
        <v>59</v>
      </c>
      <c r="D29" s="22" t="s">
        <v>103</v>
      </c>
      <c r="E29" s="24">
        <v>5.0</v>
      </c>
      <c r="F29" s="25"/>
      <c r="G29" s="19">
        <f t="shared" si="3"/>
        <v>0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7.25" customHeight="1">
      <c r="A30" s="15" t="s">
        <v>104</v>
      </c>
      <c r="B30" s="16" t="s">
        <v>105</v>
      </c>
      <c r="C30" s="15" t="s">
        <v>106</v>
      </c>
      <c r="D30" s="15" t="s">
        <v>107</v>
      </c>
      <c r="E30" s="17">
        <v>0.52</v>
      </c>
      <c r="F30" s="18"/>
      <c r="G30" s="19">
        <f t="shared" si="3"/>
        <v>0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7.25" customHeight="1">
      <c r="A31" s="15" t="s">
        <v>108</v>
      </c>
      <c r="B31" s="16" t="s">
        <v>109</v>
      </c>
      <c r="C31" s="15" t="s">
        <v>110</v>
      </c>
      <c r="D31" s="15" t="s">
        <v>111</v>
      </c>
      <c r="E31" s="17">
        <v>0.52</v>
      </c>
      <c r="F31" s="18"/>
      <c r="G31" s="19">
        <f t="shared" si="3"/>
        <v>0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7.25" customHeight="1">
      <c r="A32" s="33" t="s">
        <v>112</v>
      </c>
      <c r="B32" s="34" t="s">
        <v>113</v>
      </c>
      <c r="C32" s="15" t="s">
        <v>114</v>
      </c>
      <c r="D32" s="15" t="s">
        <v>115</v>
      </c>
      <c r="E32" s="17">
        <v>2.25</v>
      </c>
      <c r="F32" s="18"/>
      <c r="G32" s="19">
        <f t="shared" si="3"/>
        <v>0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7.25" customHeight="1">
      <c r="A33" s="33" t="s">
        <v>116</v>
      </c>
      <c r="B33" s="34" t="s">
        <v>117</v>
      </c>
      <c r="C33" s="15" t="s">
        <v>118</v>
      </c>
      <c r="D33" s="15" t="s">
        <v>119</v>
      </c>
      <c r="E33" s="17">
        <v>2.25</v>
      </c>
      <c r="F33" s="18"/>
      <c r="G33" s="19">
        <f t="shared" si="3"/>
        <v>0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7.25" customHeight="1">
      <c r="A34" s="33" t="s">
        <v>120</v>
      </c>
      <c r="B34" s="34" t="s">
        <v>121</v>
      </c>
      <c r="C34" s="15" t="s">
        <v>122</v>
      </c>
      <c r="D34" s="15" t="s">
        <v>123</v>
      </c>
      <c r="E34" s="17">
        <v>2.55</v>
      </c>
      <c r="F34" s="18"/>
      <c r="G34" s="19">
        <f t="shared" si="3"/>
        <v>0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7.25" customHeight="1">
      <c r="A35" s="15" t="s">
        <v>124</v>
      </c>
      <c r="B35" s="16" t="s">
        <v>125</v>
      </c>
      <c r="C35" s="15" t="s">
        <v>126</v>
      </c>
      <c r="D35" s="15" t="s">
        <v>127</v>
      </c>
      <c r="E35" s="17">
        <v>2.45</v>
      </c>
      <c r="F35" s="18"/>
      <c r="G35" s="19">
        <f t="shared" si="3"/>
        <v>0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7.25" customHeight="1">
      <c r="A36" s="35" t="s">
        <v>128</v>
      </c>
      <c r="B36" s="20" t="s">
        <v>129</v>
      </c>
      <c r="C36" s="35" t="s">
        <v>130</v>
      </c>
      <c r="D36" s="35" t="s">
        <v>131</v>
      </c>
      <c r="E36" s="36">
        <v>1.15</v>
      </c>
      <c r="F36" s="21"/>
      <c r="G36" s="19">
        <f t="shared" si="3"/>
        <v>0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7.25" customHeight="1">
      <c r="A37" s="15" t="s">
        <v>132</v>
      </c>
      <c r="B37" s="16" t="s">
        <v>133</v>
      </c>
      <c r="C37" s="37" t="s">
        <v>130</v>
      </c>
      <c r="D37" s="37" t="s">
        <v>131</v>
      </c>
      <c r="E37" s="38">
        <v>1.15</v>
      </c>
      <c r="F37" s="21"/>
      <c r="G37" s="32">
        <f t="shared" ref="G37:G38" si="4">E37*F37</f>
        <v>0</v>
      </c>
    </row>
    <row r="38" ht="17.25" customHeight="1">
      <c r="A38" s="15" t="s">
        <v>134</v>
      </c>
      <c r="B38" s="16" t="s">
        <v>135</v>
      </c>
      <c r="C38" s="37" t="s">
        <v>130</v>
      </c>
      <c r="D38" s="37" t="s">
        <v>131</v>
      </c>
      <c r="E38" s="38">
        <v>1.15</v>
      </c>
      <c r="F38" s="21"/>
      <c r="G38" s="32">
        <f t="shared" si="4"/>
        <v>0</v>
      </c>
    </row>
    <row r="39" ht="17.25" customHeight="1">
      <c r="A39" s="15" t="s">
        <v>136</v>
      </c>
      <c r="B39" s="16" t="s">
        <v>137</v>
      </c>
      <c r="C39" s="15" t="s">
        <v>13</v>
      </c>
      <c r="D39" s="15" t="s">
        <v>138</v>
      </c>
      <c r="E39" s="17">
        <v>8.7</v>
      </c>
      <c r="F39" s="18"/>
      <c r="G39" s="19">
        <f t="shared" ref="G39:G40" si="5">F39*E39</f>
        <v>0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7.25" customHeight="1">
      <c r="A40" s="15" t="s">
        <v>139</v>
      </c>
      <c r="B40" s="16" t="s">
        <v>140</v>
      </c>
      <c r="C40" s="15" t="s">
        <v>141</v>
      </c>
      <c r="D40" s="15" t="s">
        <v>141</v>
      </c>
      <c r="E40" s="17">
        <v>54.0</v>
      </c>
      <c r="F40" s="18"/>
      <c r="G40" s="19">
        <f t="shared" si="5"/>
        <v>0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7.25" customHeight="1">
      <c r="A41" s="39"/>
      <c r="B41" s="40"/>
      <c r="C41" s="40"/>
      <c r="D41" s="40"/>
      <c r="E41" s="41"/>
      <c r="F41" s="42"/>
      <c r="G41" s="43">
        <f>SUM(G3:G40)</f>
        <v>0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7.25" customHeight="1">
      <c r="A42" s="44"/>
      <c r="B42" s="44"/>
      <c r="C42" s="44"/>
      <c r="D42" s="44"/>
      <c r="E42" s="45"/>
      <c r="F42" s="44"/>
      <c r="G42" s="46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7.25" customHeight="1">
      <c r="A43" s="44"/>
      <c r="B43" s="44"/>
      <c r="C43" s="44"/>
      <c r="D43" s="44"/>
      <c r="E43" s="45"/>
      <c r="F43" s="44"/>
      <c r="G43" s="46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7.25" customHeight="1">
      <c r="A44" s="44"/>
      <c r="B44" s="44"/>
      <c r="C44" s="44"/>
      <c r="D44" s="44"/>
      <c r="E44" s="45"/>
      <c r="F44" s="44"/>
      <c r="G44" s="46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7.25" customHeight="1">
      <c r="A45" s="44"/>
      <c r="B45" s="44"/>
      <c r="C45" s="44"/>
      <c r="D45" s="44"/>
      <c r="E45" s="45"/>
      <c r="F45" s="44"/>
      <c r="G45" s="46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6.5" customHeight="1">
      <c r="A46" s="44"/>
      <c r="B46" s="44"/>
      <c r="C46" s="44"/>
      <c r="D46" s="44"/>
      <c r="E46" s="44"/>
      <c r="F46" s="44"/>
      <c r="G46" s="46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44"/>
      <c r="B47" s="7"/>
      <c r="C47" s="7"/>
      <c r="D47" s="7"/>
      <c r="E47" s="44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44"/>
      <c r="B48" s="7"/>
      <c r="C48" s="7"/>
      <c r="D48" s="7"/>
      <c r="E48" s="44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44"/>
      <c r="B49" s="7"/>
      <c r="C49" s="7"/>
      <c r="D49" s="7"/>
      <c r="E49" s="44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44"/>
      <c r="B50" s="7"/>
      <c r="C50" s="7"/>
      <c r="D50" s="7"/>
      <c r="E50" s="44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44"/>
      <c r="B51" s="7"/>
      <c r="C51" s="7"/>
      <c r="D51" s="7"/>
      <c r="E51" s="44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44"/>
      <c r="B52" s="7"/>
      <c r="C52" s="7"/>
      <c r="D52" s="7"/>
      <c r="E52" s="44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44"/>
      <c r="B53" s="7"/>
      <c r="C53" s="7"/>
      <c r="D53" s="7"/>
      <c r="E53" s="44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44"/>
      <c r="B54" s="7"/>
      <c r="C54" s="7"/>
      <c r="D54" s="7"/>
      <c r="E54" s="44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44"/>
      <c r="B55" s="7"/>
      <c r="C55" s="7"/>
      <c r="D55" s="7"/>
      <c r="E55" s="44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4"/>
      <c r="B56" s="7"/>
      <c r="C56" s="7"/>
      <c r="D56" s="7"/>
      <c r="E56" s="44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44"/>
      <c r="B57" s="7"/>
      <c r="C57" s="7"/>
      <c r="D57" s="7"/>
      <c r="E57" s="44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44"/>
      <c r="B58" s="7"/>
      <c r="C58" s="7"/>
      <c r="D58" s="7"/>
      <c r="E58" s="44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44"/>
      <c r="B59" s="7"/>
      <c r="C59" s="7"/>
      <c r="D59" s="7"/>
      <c r="E59" s="44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44"/>
      <c r="B60" s="7"/>
      <c r="C60" s="7"/>
      <c r="D60" s="7"/>
      <c r="E60" s="44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44"/>
      <c r="B61" s="7"/>
      <c r="C61" s="7"/>
      <c r="D61" s="7"/>
      <c r="E61" s="44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44"/>
      <c r="B62" s="7"/>
      <c r="C62" s="7"/>
      <c r="D62" s="7"/>
      <c r="E62" s="44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44"/>
      <c r="B63" s="7"/>
      <c r="C63" s="7"/>
      <c r="D63" s="7"/>
      <c r="E63" s="44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44"/>
      <c r="B64" s="7"/>
      <c r="C64" s="7"/>
      <c r="D64" s="7"/>
      <c r="E64" s="44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44"/>
      <c r="B65" s="7"/>
      <c r="C65" s="7"/>
      <c r="D65" s="7"/>
      <c r="E65" s="44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44"/>
      <c r="B66" s="7"/>
      <c r="C66" s="7"/>
      <c r="D66" s="7"/>
      <c r="E66" s="44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44"/>
      <c r="B67" s="7"/>
      <c r="C67" s="7"/>
      <c r="D67" s="7"/>
      <c r="E67" s="44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4"/>
      <c r="B68" s="7"/>
      <c r="C68" s="7"/>
      <c r="D68" s="7"/>
      <c r="E68" s="44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44"/>
      <c r="B69" s="7"/>
      <c r="C69" s="7"/>
      <c r="D69" s="7"/>
      <c r="E69" s="44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44"/>
      <c r="B70" s="7"/>
      <c r="C70" s="7"/>
      <c r="D70" s="7"/>
      <c r="E70" s="44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44"/>
      <c r="B71" s="7"/>
      <c r="C71" s="7"/>
      <c r="D71" s="7"/>
      <c r="E71" s="44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44"/>
      <c r="B72" s="7"/>
      <c r="C72" s="7"/>
      <c r="D72" s="7"/>
      <c r="E72" s="44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44"/>
      <c r="B73" s="7"/>
      <c r="C73" s="7"/>
      <c r="D73" s="7"/>
      <c r="E73" s="44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44"/>
      <c r="B74" s="7"/>
      <c r="C74" s="7"/>
      <c r="D74" s="7"/>
      <c r="E74" s="44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44"/>
      <c r="B75" s="7"/>
      <c r="C75" s="7"/>
      <c r="D75" s="7"/>
      <c r="E75" s="44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44"/>
      <c r="B76" s="7"/>
      <c r="C76" s="7"/>
      <c r="D76" s="7"/>
      <c r="E76" s="44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44"/>
      <c r="B77" s="7"/>
      <c r="C77" s="7"/>
      <c r="D77" s="7"/>
      <c r="E77" s="44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44"/>
      <c r="B78" s="7"/>
      <c r="C78" s="7"/>
      <c r="D78" s="7"/>
      <c r="E78" s="44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44"/>
      <c r="B79" s="7"/>
      <c r="C79" s="7"/>
      <c r="D79" s="7"/>
      <c r="E79" s="44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4"/>
      <c r="B80" s="7"/>
      <c r="C80" s="7"/>
      <c r="D80" s="7"/>
      <c r="E80" s="44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44"/>
      <c r="B81" s="7"/>
      <c r="C81" s="7"/>
      <c r="D81" s="7"/>
      <c r="E81" s="44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44"/>
      <c r="B82" s="7"/>
      <c r="C82" s="7"/>
      <c r="D82" s="7"/>
      <c r="E82" s="44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44"/>
      <c r="B83" s="7"/>
      <c r="C83" s="7"/>
      <c r="D83" s="7"/>
      <c r="E83" s="44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44"/>
      <c r="B84" s="7"/>
      <c r="C84" s="7"/>
      <c r="D84" s="7"/>
      <c r="E84" s="44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44"/>
      <c r="B85" s="7"/>
      <c r="C85" s="7"/>
      <c r="D85" s="7"/>
      <c r="E85" s="44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44"/>
      <c r="B86" s="7"/>
      <c r="C86" s="7"/>
      <c r="D86" s="7"/>
      <c r="E86" s="44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44"/>
      <c r="B87" s="7"/>
      <c r="C87" s="7"/>
      <c r="D87" s="7"/>
      <c r="E87" s="44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44"/>
      <c r="B88" s="7"/>
      <c r="C88" s="7"/>
      <c r="D88" s="7"/>
      <c r="E88" s="44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44"/>
      <c r="B89" s="7"/>
      <c r="C89" s="7"/>
      <c r="D89" s="7"/>
      <c r="E89" s="44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44"/>
      <c r="B90" s="7"/>
      <c r="C90" s="7"/>
      <c r="D90" s="7"/>
      <c r="E90" s="44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44"/>
      <c r="B91" s="7"/>
      <c r="C91" s="7"/>
      <c r="D91" s="7"/>
      <c r="E91" s="44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4"/>
      <c r="B92" s="7"/>
      <c r="C92" s="7"/>
      <c r="D92" s="7"/>
      <c r="E92" s="44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44"/>
      <c r="B93" s="7"/>
      <c r="C93" s="7"/>
      <c r="D93" s="7"/>
      <c r="E93" s="44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44"/>
      <c r="B94" s="7"/>
      <c r="C94" s="7"/>
      <c r="D94" s="7"/>
      <c r="E94" s="44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44"/>
      <c r="B95" s="7"/>
      <c r="C95" s="7"/>
      <c r="D95" s="7"/>
      <c r="E95" s="44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44"/>
      <c r="B96" s="7"/>
      <c r="C96" s="7"/>
      <c r="D96" s="7"/>
      <c r="E96" s="44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44"/>
      <c r="B97" s="7"/>
      <c r="C97" s="7"/>
      <c r="D97" s="7"/>
      <c r="E97" s="44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44"/>
      <c r="B98" s="7"/>
      <c r="C98" s="7"/>
      <c r="D98" s="7"/>
      <c r="E98" s="44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44"/>
      <c r="B99" s="7"/>
      <c r="C99" s="7"/>
      <c r="D99" s="7"/>
      <c r="E99" s="44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44"/>
      <c r="B100" s="7"/>
      <c r="C100" s="7"/>
      <c r="D100" s="7"/>
      <c r="E100" s="44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44"/>
      <c r="B101" s="7"/>
      <c r="C101" s="7"/>
      <c r="D101" s="7"/>
      <c r="E101" s="44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44"/>
      <c r="B102" s="7"/>
      <c r="C102" s="7"/>
      <c r="D102" s="7"/>
      <c r="E102" s="44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44"/>
      <c r="B103" s="7"/>
      <c r="C103" s="7"/>
      <c r="D103" s="7"/>
      <c r="E103" s="44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4"/>
      <c r="B104" s="7"/>
      <c r="C104" s="7"/>
      <c r="D104" s="7"/>
      <c r="E104" s="44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44"/>
      <c r="B105" s="7"/>
      <c r="C105" s="7"/>
      <c r="D105" s="7"/>
      <c r="E105" s="44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44"/>
      <c r="B106" s="7"/>
      <c r="C106" s="7"/>
      <c r="D106" s="7"/>
      <c r="E106" s="44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44"/>
      <c r="B107" s="7"/>
      <c r="C107" s="7"/>
      <c r="D107" s="7"/>
      <c r="E107" s="44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44"/>
      <c r="B108" s="7"/>
      <c r="C108" s="7"/>
      <c r="D108" s="7"/>
      <c r="E108" s="44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44"/>
      <c r="B109" s="7"/>
      <c r="C109" s="7"/>
      <c r="D109" s="7"/>
      <c r="E109" s="44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44"/>
      <c r="B110" s="7"/>
      <c r="C110" s="7"/>
      <c r="D110" s="7"/>
      <c r="E110" s="44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44"/>
      <c r="B111" s="7"/>
      <c r="C111" s="7"/>
      <c r="D111" s="7"/>
      <c r="E111" s="44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44"/>
      <c r="B112" s="7"/>
      <c r="C112" s="7"/>
      <c r="D112" s="7"/>
      <c r="E112" s="44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44"/>
      <c r="B113" s="7"/>
      <c r="C113" s="7"/>
      <c r="D113" s="7"/>
      <c r="E113" s="44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44"/>
      <c r="B114" s="7"/>
      <c r="C114" s="7"/>
      <c r="D114" s="7"/>
      <c r="E114" s="44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44"/>
      <c r="B115" s="7"/>
      <c r="C115" s="7"/>
      <c r="D115" s="7"/>
      <c r="E115" s="44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44"/>
      <c r="B116" s="7"/>
      <c r="C116" s="7"/>
      <c r="D116" s="7"/>
      <c r="E116" s="44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44"/>
      <c r="B117" s="7"/>
      <c r="C117" s="7"/>
      <c r="D117" s="7"/>
      <c r="E117" s="44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44"/>
      <c r="B118" s="7"/>
      <c r="C118" s="7"/>
      <c r="D118" s="7"/>
      <c r="E118" s="44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44"/>
      <c r="B119" s="7"/>
      <c r="C119" s="7"/>
      <c r="D119" s="7"/>
      <c r="E119" s="44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44"/>
      <c r="B120" s="7"/>
      <c r="C120" s="7"/>
      <c r="D120" s="7"/>
      <c r="E120" s="44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44"/>
      <c r="B121" s="7"/>
      <c r="C121" s="7"/>
      <c r="D121" s="7"/>
      <c r="E121" s="44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44"/>
      <c r="B122" s="7"/>
      <c r="C122" s="7"/>
      <c r="D122" s="7"/>
      <c r="E122" s="44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44"/>
      <c r="B123" s="7"/>
      <c r="C123" s="7"/>
      <c r="D123" s="7"/>
      <c r="E123" s="44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44"/>
      <c r="B124" s="7"/>
      <c r="C124" s="7"/>
      <c r="D124" s="7"/>
      <c r="E124" s="44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44"/>
      <c r="B125" s="7"/>
      <c r="C125" s="7"/>
      <c r="D125" s="7"/>
      <c r="E125" s="44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44"/>
      <c r="B126" s="7"/>
      <c r="C126" s="7"/>
      <c r="D126" s="7"/>
      <c r="E126" s="44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44"/>
      <c r="B127" s="7"/>
      <c r="C127" s="7"/>
      <c r="D127" s="7"/>
      <c r="E127" s="44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44"/>
      <c r="B128" s="7"/>
      <c r="C128" s="7"/>
      <c r="D128" s="7"/>
      <c r="E128" s="44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44"/>
      <c r="B129" s="7"/>
      <c r="C129" s="7"/>
      <c r="D129" s="7"/>
      <c r="E129" s="44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44"/>
      <c r="B130" s="7"/>
      <c r="C130" s="7"/>
      <c r="D130" s="7"/>
      <c r="E130" s="44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44"/>
      <c r="B131" s="7"/>
      <c r="C131" s="7"/>
      <c r="D131" s="7"/>
      <c r="E131" s="44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44"/>
      <c r="B132" s="7"/>
      <c r="C132" s="7"/>
      <c r="D132" s="7"/>
      <c r="E132" s="44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44"/>
      <c r="B133" s="7"/>
      <c r="C133" s="7"/>
      <c r="D133" s="7"/>
      <c r="E133" s="44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44"/>
      <c r="B134" s="7"/>
      <c r="C134" s="7"/>
      <c r="D134" s="7"/>
      <c r="E134" s="44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44"/>
      <c r="B135" s="7"/>
      <c r="C135" s="7"/>
      <c r="D135" s="7"/>
      <c r="E135" s="44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44"/>
      <c r="B136" s="7"/>
      <c r="C136" s="7"/>
      <c r="D136" s="7"/>
      <c r="E136" s="44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44"/>
      <c r="B137" s="7"/>
      <c r="C137" s="7"/>
      <c r="D137" s="7"/>
      <c r="E137" s="44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44"/>
      <c r="B138" s="7"/>
      <c r="C138" s="7"/>
      <c r="D138" s="7"/>
      <c r="E138" s="44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44"/>
      <c r="B139" s="7"/>
      <c r="C139" s="7"/>
      <c r="D139" s="7"/>
      <c r="E139" s="44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44"/>
      <c r="B140" s="7"/>
      <c r="C140" s="7"/>
      <c r="D140" s="7"/>
      <c r="E140" s="44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44"/>
      <c r="B141" s="7"/>
      <c r="C141" s="7"/>
      <c r="D141" s="7"/>
      <c r="E141" s="44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44"/>
      <c r="B142" s="7"/>
      <c r="C142" s="7"/>
      <c r="D142" s="7"/>
      <c r="E142" s="44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44"/>
      <c r="B143" s="7"/>
      <c r="C143" s="7"/>
      <c r="D143" s="7"/>
      <c r="E143" s="44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44"/>
      <c r="B144" s="7"/>
      <c r="C144" s="7"/>
      <c r="D144" s="7"/>
      <c r="E144" s="44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44"/>
      <c r="B145" s="7"/>
      <c r="C145" s="7"/>
      <c r="D145" s="7"/>
      <c r="E145" s="44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44"/>
      <c r="B146" s="7"/>
      <c r="C146" s="7"/>
      <c r="D146" s="7"/>
      <c r="E146" s="44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44"/>
      <c r="B147" s="7"/>
      <c r="C147" s="7"/>
      <c r="D147" s="7"/>
      <c r="E147" s="44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44"/>
      <c r="B148" s="7"/>
      <c r="C148" s="7"/>
      <c r="D148" s="7"/>
      <c r="E148" s="44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44"/>
      <c r="B149" s="7"/>
      <c r="C149" s="7"/>
      <c r="D149" s="7"/>
      <c r="E149" s="44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44"/>
      <c r="B150" s="7"/>
      <c r="C150" s="7"/>
      <c r="D150" s="7"/>
      <c r="E150" s="44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44"/>
      <c r="B151" s="7"/>
      <c r="C151" s="7"/>
      <c r="D151" s="7"/>
      <c r="E151" s="44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44"/>
      <c r="B152" s="7"/>
      <c r="C152" s="7"/>
      <c r="D152" s="7"/>
      <c r="E152" s="44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44"/>
      <c r="B153" s="7"/>
      <c r="C153" s="7"/>
      <c r="D153" s="7"/>
      <c r="E153" s="44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44"/>
      <c r="B154" s="7"/>
      <c r="C154" s="7"/>
      <c r="D154" s="7"/>
      <c r="E154" s="44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44"/>
      <c r="B155" s="7"/>
      <c r="C155" s="7"/>
      <c r="D155" s="7"/>
      <c r="E155" s="44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44"/>
      <c r="B156" s="7"/>
      <c r="C156" s="7"/>
      <c r="D156" s="7"/>
      <c r="E156" s="44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44"/>
      <c r="B157" s="7"/>
      <c r="C157" s="7"/>
      <c r="D157" s="7"/>
      <c r="E157" s="44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44"/>
      <c r="B158" s="7"/>
      <c r="C158" s="7"/>
      <c r="D158" s="7"/>
      <c r="E158" s="44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44"/>
      <c r="B159" s="7"/>
      <c r="C159" s="7"/>
      <c r="D159" s="7"/>
      <c r="E159" s="44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44"/>
      <c r="B160" s="7"/>
      <c r="C160" s="7"/>
      <c r="D160" s="7"/>
      <c r="E160" s="44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44"/>
      <c r="B161" s="7"/>
      <c r="C161" s="7"/>
      <c r="D161" s="7"/>
      <c r="E161" s="44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44"/>
      <c r="B162" s="7"/>
      <c r="C162" s="7"/>
      <c r="D162" s="7"/>
      <c r="E162" s="44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44"/>
      <c r="B163" s="7"/>
      <c r="C163" s="7"/>
      <c r="D163" s="7"/>
      <c r="E163" s="44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44"/>
      <c r="B164" s="7"/>
      <c r="C164" s="7"/>
      <c r="D164" s="7"/>
      <c r="E164" s="44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44"/>
      <c r="B165" s="7"/>
      <c r="C165" s="7"/>
      <c r="D165" s="7"/>
      <c r="E165" s="44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44"/>
      <c r="B166" s="7"/>
      <c r="C166" s="7"/>
      <c r="D166" s="7"/>
      <c r="E166" s="44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44"/>
      <c r="B167" s="7"/>
      <c r="C167" s="7"/>
      <c r="D167" s="7"/>
      <c r="E167" s="44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44"/>
      <c r="B168" s="7"/>
      <c r="C168" s="7"/>
      <c r="D168" s="7"/>
      <c r="E168" s="44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44"/>
      <c r="B169" s="7"/>
      <c r="C169" s="7"/>
      <c r="D169" s="7"/>
      <c r="E169" s="44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44"/>
      <c r="B170" s="7"/>
      <c r="C170" s="7"/>
      <c r="D170" s="7"/>
      <c r="E170" s="44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44"/>
      <c r="B171" s="7"/>
      <c r="C171" s="7"/>
      <c r="D171" s="7"/>
      <c r="E171" s="44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44"/>
      <c r="B172" s="7"/>
      <c r="C172" s="7"/>
      <c r="D172" s="7"/>
      <c r="E172" s="44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44"/>
      <c r="B173" s="7"/>
      <c r="C173" s="7"/>
      <c r="D173" s="7"/>
      <c r="E173" s="44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44"/>
      <c r="B174" s="7"/>
      <c r="C174" s="7"/>
      <c r="D174" s="7"/>
      <c r="E174" s="44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44"/>
      <c r="B175" s="7"/>
      <c r="C175" s="7"/>
      <c r="D175" s="7"/>
      <c r="E175" s="44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44"/>
      <c r="B176" s="7"/>
      <c r="C176" s="7"/>
      <c r="D176" s="7"/>
      <c r="E176" s="44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44"/>
      <c r="B177" s="7"/>
      <c r="C177" s="7"/>
      <c r="D177" s="7"/>
      <c r="E177" s="44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44"/>
      <c r="B178" s="7"/>
      <c r="C178" s="7"/>
      <c r="D178" s="7"/>
      <c r="E178" s="44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44"/>
      <c r="B179" s="7"/>
      <c r="C179" s="7"/>
      <c r="D179" s="7"/>
      <c r="E179" s="44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44"/>
      <c r="B180" s="7"/>
      <c r="C180" s="7"/>
      <c r="D180" s="7"/>
      <c r="E180" s="44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44"/>
      <c r="B181" s="7"/>
      <c r="C181" s="7"/>
      <c r="D181" s="7"/>
      <c r="E181" s="44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44"/>
      <c r="B182" s="7"/>
      <c r="C182" s="7"/>
      <c r="D182" s="7"/>
      <c r="E182" s="44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44"/>
      <c r="B183" s="7"/>
      <c r="C183" s="7"/>
      <c r="D183" s="7"/>
      <c r="E183" s="44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44"/>
      <c r="B184" s="7"/>
      <c r="C184" s="7"/>
      <c r="D184" s="7"/>
      <c r="E184" s="44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44"/>
      <c r="B185" s="7"/>
      <c r="C185" s="7"/>
      <c r="D185" s="7"/>
      <c r="E185" s="44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44"/>
      <c r="B186" s="7"/>
      <c r="C186" s="7"/>
      <c r="D186" s="7"/>
      <c r="E186" s="44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44"/>
      <c r="B187" s="7"/>
      <c r="C187" s="7"/>
      <c r="D187" s="7"/>
      <c r="E187" s="44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44"/>
      <c r="B188" s="7"/>
      <c r="C188" s="7"/>
      <c r="D188" s="7"/>
      <c r="E188" s="44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44"/>
      <c r="B189" s="7"/>
      <c r="C189" s="7"/>
      <c r="D189" s="7"/>
      <c r="E189" s="44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44"/>
      <c r="B190" s="7"/>
      <c r="C190" s="7"/>
      <c r="D190" s="7"/>
      <c r="E190" s="44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44"/>
      <c r="B191" s="7"/>
      <c r="C191" s="7"/>
      <c r="D191" s="7"/>
      <c r="E191" s="44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44"/>
      <c r="B192" s="7"/>
      <c r="C192" s="7"/>
      <c r="D192" s="7"/>
      <c r="E192" s="44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44"/>
      <c r="B193" s="7"/>
      <c r="C193" s="7"/>
      <c r="D193" s="7"/>
      <c r="E193" s="44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44"/>
      <c r="B194" s="7"/>
      <c r="C194" s="7"/>
      <c r="D194" s="7"/>
      <c r="E194" s="44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44"/>
      <c r="B195" s="7"/>
      <c r="C195" s="7"/>
      <c r="D195" s="7"/>
      <c r="E195" s="44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44"/>
      <c r="B196" s="7"/>
      <c r="C196" s="7"/>
      <c r="D196" s="7"/>
      <c r="E196" s="44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44"/>
      <c r="B197" s="7"/>
      <c r="C197" s="7"/>
      <c r="D197" s="7"/>
      <c r="E197" s="44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44"/>
      <c r="B198" s="7"/>
      <c r="C198" s="7"/>
      <c r="D198" s="7"/>
      <c r="E198" s="44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44"/>
      <c r="B199" s="7"/>
      <c r="C199" s="7"/>
      <c r="D199" s="7"/>
      <c r="E199" s="44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44"/>
      <c r="B200" s="7"/>
      <c r="C200" s="7"/>
      <c r="D200" s="7"/>
      <c r="E200" s="44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44"/>
      <c r="B201" s="7"/>
      <c r="C201" s="7"/>
      <c r="D201" s="7"/>
      <c r="E201" s="44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44"/>
      <c r="B202" s="7"/>
      <c r="C202" s="7"/>
      <c r="D202" s="7"/>
      <c r="E202" s="44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44"/>
      <c r="B203" s="7"/>
      <c r="C203" s="7"/>
      <c r="D203" s="7"/>
      <c r="E203" s="44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44"/>
      <c r="B204" s="7"/>
      <c r="C204" s="7"/>
      <c r="D204" s="7"/>
      <c r="E204" s="44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44"/>
      <c r="B205" s="7"/>
      <c r="C205" s="7"/>
      <c r="D205" s="7"/>
      <c r="E205" s="44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44"/>
      <c r="B206" s="7"/>
      <c r="C206" s="7"/>
      <c r="D206" s="7"/>
      <c r="E206" s="44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44"/>
      <c r="B207" s="7"/>
      <c r="C207" s="7"/>
      <c r="D207" s="7"/>
      <c r="E207" s="44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44"/>
      <c r="B208" s="7"/>
      <c r="C208" s="7"/>
      <c r="D208" s="7"/>
      <c r="E208" s="44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44"/>
      <c r="B209" s="7"/>
      <c r="C209" s="7"/>
      <c r="D209" s="7"/>
      <c r="E209" s="44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44"/>
      <c r="B210" s="7"/>
      <c r="C210" s="7"/>
      <c r="D210" s="7"/>
      <c r="E210" s="44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44"/>
      <c r="B211" s="7"/>
      <c r="C211" s="7"/>
      <c r="D211" s="7"/>
      <c r="E211" s="44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44"/>
      <c r="B212" s="7"/>
      <c r="C212" s="7"/>
      <c r="D212" s="7"/>
      <c r="E212" s="44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44"/>
      <c r="B213" s="7"/>
      <c r="C213" s="7"/>
      <c r="D213" s="7"/>
      <c r="E213" s="44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44"/>
      <c r="B214" s="7"/>
      <c r="C214" s="7"/>
      <c r="D214" s="7"/>
      <c r="E214" s="44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44"/>
      <c r="B215" s="7"/>
      <c r="C215" s="7"/>
      <c r="D215" s="7"/>
      <c r="E215" s="44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44"/>
      <c r="B216" s="7"/>
      <c r="C216" s="7"/>
      <c r="D216" s="7"/>
      <c r="E216" s="44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44"/>
      <c r="B217" s="7"/>
      <c r="C217" s="7"/>
      <c r="D217" s="7"/>
      <c r="E217" s="44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44"/>
      <c r="B218" s="7"/>
      <c r="C218" s="7"/>
      <c r="D218" s="7"/>
      <c r="E218" s="44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44"/>
      <c r="B219" s="7"/>
      <c r="C219" s="7"/>
      <c r="D219" s="7"/>
      <c r="E219" s="44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44"/>
      <c r="B220" s="7"/>
      <c r="C220" s="7"/>
      <c r="D220" s="7"/>
      <c r="E220" s="44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44"/>
      <c r="B221" s="7"/>
      <c r="C221" s="7"/>
      <c r="D221" s="7"/>
      <c r="E221" s="44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44"/>
      <c r="B222" s="7"/>
      <c r="C222" s="7"/>
      <c r="D222" s="7"/>
      <c r="E222" s="44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44"/>
      <c r="B223" s="7"/>
      <c r="C223" s="7"/>
      <c r="D223" s="7"/>
      <c r="E223" s="44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44"/>
      <c r="B224" s="7"/>
      <c r="C224" s="7"/>
      <c r="D224" s="7"/>
      <c r="E224" s="44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44"/>
      <c r="B225" s="7"/>
      <c r="C225" s="7"/>
      <c r="D225" s="7"/>
      <c r="E225" s="44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44"/>
      <c r="B226" s="7"/>
      <c r="C226" s="7"/>
      <c r="D226" s="7"/>
      <c r="E226" s="44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44"/>
      <c r="B227" s="7"/>
      <c r="C227" s="7"/>
      <c r="D227" s="7"/>
      <c r="E227" s="44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44"/>
      <c r="B228" s="7"/>
      <c r="C228" s="7"/>
      <c r="D228" s="7"/>
      <c r="E228" s="44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44"/>
      <c r="B229" s="7"/>
      <c r="C229" s="7"/>
      <c r="D229" s="7"/>
      <c r="E229" s="44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44"/>
      <c r="B230" s="7"/>
      <c r="C230" s="7"/>
      <c r="D230" s="7"/>
      <c r="E230" s="44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44"/>
      <c r="B231" s="7"/>
      <c r="C231" s="7"/>
      <c r="D231" s="7"/>
      <c r="E231" s="44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44"/>
      <c r="B232" s="7"/>
      <c r="C232" s="7"/>
      <c r="D232" s="7"/>
      <c r="E232" s="44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44"/>
      <c r="B233" s="7"/>
      <c r="C233" s="7"/>
      <c r="D233" s="7"/>
      <c r="E233" s="44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44"/>
      <c r="B234" s="7"/>
      <c r="C234" s="7"/>
      <c r="D234" s="7"/>
      <c r="E234" s="44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44"/>
      <c r="B235" s="7"/>
      <c r="C235" s="7"/>
      <c r="D235" s="7"/>
      <c r="E235" s="44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44"/>
      <c r="B236" s="7"/>
      <c r="C236" s="7"/>
      <c r="D236" s="7"/>
      <c r="E236" s="44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44"/>
      <c r="B237" s="7"/>
      <c r="C237" s="7"/>
      <c r="D237" s="7"/>
      <c r="E237" s="44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44"/>
      <c r="B238" s="7"/>
      <c r="C238" s="7"/>
      <c r="D238" s="7"/>
      <c r="E238" s="44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44"/>
      <c r="B239" s="7"/>
      <c r="C239" s="7"/>
      <c r="D239" s="7"/>
      <c r="E239" s="44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44"/>
      <c r="B240" s="7"/>
      <c r="C240" s="7"/>
      <c r="D240" s="7"/>
      <c r="E240" s="44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44"/>
      <c r="B241" s="7"/>
      <c r="C241" s="7"/>
      <c r="D241" s="7"/>
      <c r="E241" s="44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44"/>
      <c r="B242" s="7"/>
      <c r="C242" s="7"/>
      <c r="D242" s="7"/>
      <c r="E242" s="44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44"/>
      <c r="B243" s="7"/>
      <c r="C243" s="7"/>
      <c r="D243" s="7"/>
      <c r="E243" s="44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44"/>
      <c r="B244" s="7"/>
      <c r="C244" s="7"/>
      <c r="D244" s="7"/>
      <c r="E244" s="44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44"/>
      <c r="B245" s="7"/>
      <c r="C245" s="7"/>
      <c r="D245" s="7"/>
      <c r="E245" s="44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44"/>
      <c r="B246" s="7"/>
      <c r="C246" s="7"/>
      <c r="D246" s="7"/>
      <c r="E246" s="44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</sheetData>
  <mergeCells count="4">
    <mergeCell ref="A1:B1"/>
    <mergeCell ref="C1:D1"/>
    <mergeCell ref="E1:G1"/>
    <mergeCell ref="A41:E41"/>
  </mergeCells>
  <hyperlinks>
    <hyperlink r:id="rId1" ref="E1"/>
  </hyperlinks>
  <printOptions/>
  <pageMargins bottom="0.35433070866141736" footer="0.0" header="0.0" left="0.6299212598425197" right="0.2362204724409449" top="0.35433070866141736"/>
  <pageSetup orientation="landscape"/>
  <drawing r:id="rId2"/>
</worksheet>
</file>